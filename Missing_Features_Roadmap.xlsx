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issing Features" sheetId="1" state="visible" r:id="rId3"/>
    <sheet name="Summary" sheetId="2" state="visible" r:id="rId4"/>
    <sheet name="Already Built" sheetId="3" state="visible" r:id="rId5"/>
  </sheets>
  <definedNames>
    <definedName function="false" hidden="true" localSheetId="0" name="_xlnm._FilterDatabase" vbProcedure="false">'Missing Features'!$A$4:$K$33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<sst xmlns="http://schemas.openxmlformats.org/spreadsheetml/2006/main" count="277" uniqueCount="152">
  <si>
    <t xml:space="preserve">ManageMyAcademy – missing features vs international school systems</t>
  </si>
  <si>
    <t xml:space="preserve">Benchmarks: PowerSchool, Veracross, Toddle, Fedena, Teachmint, Classe365 / openSIS. Yellow columns (Status, Owner, Target date, Notes) are for you to fill in.</t>
  </si>
  <si>
    <t xml:space="preserve">#</t>
  </si>
  <si>
    <t xml:space="preserve">Tier</t>
  </si>
  <si>
    <t xml:space="preserve">Feature</t>
  </si>
  <si>
    <t xml:space="preserve">Area</t>
  </si>
  <si>
    <t xml:space="preserve">What you have today</t>
  </si>
  <si>
    <t xml:space="preserve">What's missing</t>
  </si>
  <si>
    <t xml:space="preserve">Suggested order</t>
  </si>
  <si>
    <t xml:space="preserve">Status</t>
  </si>
  <si>
    <t xml:space="preserve">Owner</t>
  </si>
  <si>
    <t xml:space="preserve">Target date</t>
  </si>
  <si>
    <t xml:space="preserve">Notes</t>
  </si>
  <si>
    <t xml:space="preserve">Tier 1 – Must-have (international)</t>
  </si>
  <si>
    <t xml:space="preserve">Online fee payment by parents + automatic reminders &amp; emailed receipts</t>
  </si>
  <si>
    <t xml:space="preserve">Fees</t>
  </si>
  <si>
    <t xml:space="preserve">UPI/PhonePe only, manual approval (India-only)</t>
  </si>
  <si>
    <t xml:space="preserve">Card payments (Stripe or local gateways per country), reminders before/after due date, tax invoices (VAT/GST), part-payments &amp; instalments</t>
  </si>
  <si>
    <t xml:space="preserve">First</t>
  </si>
  <si>
    <t xml:space="preserve">Not started</t>
  </si>
  <si>
    <t xml:space="preserve">Configurable grading &amp; report cards</t>
  </si>
  <si>
    <t xml:space="preserve">Exams</t>
  </si>
  <si>
    <t xml:space="preserve">Grade bands fixed in code (A+ ≥ 90%)</t>
  </si>
  <si>
    <t xml:space="preserve">School-defined grading scales (letters, GPA, IB 1–7, Cambridge, US standards-based), term weighting, teacher comments, report-card templates, PDF/email to parents</t>
  </si>
  <si>
    <t xml:space="preserve">Automatic notifications to parents</t>
  </si>
  <si>
    <t xml:space="preserve">Communication</t>
  </si>
  <si>
    <t xml:space="preserve">Push notifications only for chat</t>
  </si>
  <si>
    <t xml:space="preserve">Push/email/SMS/WhatsApp for absences, new homework, notices, fee due, exam results; read receipts on notices</t>
  </si>
  <si>
    <t xml:space="preserve">Parent absence notes &amp; student leave</t>
  </si>
  <si>
    <t xml:space="preserve">Attendance</t>
  </si>
  <si>
    <t xml:space="preserve">Staff leave only</t>
  </si>
  <si>
    <t xml:space="preserve">Parents submit absence/leave requests, teacher approves, late arrival &amp; early pickup recorded</t>
  </si>
  <si>
    <t xml:space="preserve">Third</t>
  </si>
  <si>
    <t xml:space="preserve">Staff attendance</t>
  </si>
  <si>
    <t xml:space="preserve">Staff / HR</t>
  </si>
  <si>
    <t xml:space="preserve">None</t>
  </si>
  <si>
    <t xml:space="preserve">Daily staff check-in (app or QR), monthly staff attendance report, linked to leave and payroll</t>
  </si>
  <si>
    <t xml:space="preserve">Multi-language &amp; local formats</t>
  </si>
  <si>
    <t xml:space="preserve">Platform</t>
  </si>
  <si>
    <t xml:space="preserve">English only; ₹ and Indian defaults fixed in code</t>
  </si>
  <si>
    <t xml:space="preserve">Arabic (RTL), French, Spanish; local date &amp; currency formats; academic year per school (Sept–June vs April–March); grade naming per country (K–12, Year 1–13)</t>
  </si>
  <si>
    <t xml:space="preserve">Second</t>
  </si>
  <si>
    <t xml:space="preserve">Privacy &amp; security compliance</t>
  </si>
  <si>
    <t xml:space="preserve">Basic logins</t>
  </si>
  <si>
    <t xml:space="preserve">Two-step login for admins, role permission matrix, audit log, data export/delete on request, consent records (GDPR, COPPA/FERPA)</t>
  </si>
  <si>
    <t xml:space="preserve">Admissions in the app</t>
  </si>
  <si>
    <t xml:space="preserve">Admissions</t>
  </si>
  <si>
    <t xml:space="preserve">Enquiries on the website only</t>
  </si>
  <si>
    <t xml:space="preserve">Online application form, document upload, stages (enquiry → applied → interview → admitted/waitlist), one-tap convert to student</t>
  </si>
  <si>
    <t xml:space="preserve">Later</t>
  </si>
  <si>
    <t xml:space="preserve">Tier 2 – High value</t>
  </si>
  <si>
    <t xml:space="preserve">Assignment submission</t>
  </si>
  <si>
    <t xml:space="preserve">Academics</t>
  </si>
  <si>
    <t xml:space="preserve">Homework marked done / not done only</t>
  </si>
  <si>
    <t xml:space="preserve">Students upload work (photo/PDF); teachers grade and give feedback</t>
  </si>
  <si>
    <t xml:space="preserve">Complete student record</t>
  </si>
  <si>
    <t xml:space="preserve">Students</t>
  </si>
  <si>
    <t xml:space="preserve">Basic profile</t>
  </si>
  <si>
    <t xml:space="preserve">Several guardians, emergency contacts, medical &amp; allergy details, document storage (birth certificate, passport), custom fields per school</t>
  </si>
  <si>
    <t xml:space="preserve">Parent–teacher meeting booking</t>
  </si>
  <si>
    <t xml:space="preserve">Teachers publish slots, parents book, reminders</t>
  </si>
  <si>
    <t xml:space="preserve">Bulk import &amp; export</t>
  </si>
  <si>
    <t xml:space="preserve">Limited exports</t>
  </si>
  <si>
    <t xml:space="preserve">Import students/staff from Excel/CSV; export any list or report to Excel/PDF</t>
  </si>
  <si>
    <t xml:space="preserve">Analytics dashboard</t>
  </si>
  <si>
    <t xml:space="preserve">Reports</t>
  </si>
  <si>
    <t xml:space="preserve">Basic dashboard</t>
  </si>
  <si>
    <t xml:space="preserve">Attendance trends, at-risk students, fee collection vs target, class performance comparison</t>
  </si>
  <si>
    <t xml:space="preserve">Live bus tracking</t>
  </si>
  <si>
    <t xml:space="preserve">Transport</t>
  </si>
  <si>
    <t xml:space="preserve">Stops have map locations</t>
  </si>
  <si>
    <t xml:space="preserve">Driver phone shares location, live map for parents, 'bus is near' and pickup/drop alerts</t>
  </si>
  <si>
    <t xml:space="preserve">Teacher cover &amp; substitution</t>
  </si>
  <si>
    <t xml:space="preserve">Timetable</t>
  </si>
  <si>
    <t xml:space="preserve">Suggest free teachers when a teacher is on leave and notify them</t>
  </si>
  <si>
    <t xml:space="preserve">Exam logistics</t>
  </si>
  <si>
    <t xml:space="preserve">Date sheets</t>
  </si>
  <si>
    <t xml:space="preserve">Admit cards / hall tickets, seating plans, invigilator duties</t>
  </si>
  <si>
    <t xml:space="preserve">Website modules in the app</t>
  </si>
  <si>
    <t xml:space="preserve">Payroll, library, accounts on website only</t>
  </si>
  <si>
    <t xml:space="preserve">Payroll with staff payslips, library (issue/return, fines), accounting summaries for owner</t>
  </si>
  <si>
    <t xml:space="preserve">Calendar sync</t>
  </si>
  <si>
    <t xml:space="preserve">Events in app only</t>
  </si>
  <si>
    <t xml:space="preserve">School events, exams and holidays in Google/Outlook (iCal link)</t>
  </si>
  <si>
    <t xml:space="preserve">Behaviour &amp; pastoral care</t>
  </si>
  <si>
    <t xml:space="preserve">Incidents, merits/house points, counsellor notes, parent acknowledgement</t>
  </si>
  <si>
    <t xml:space="preserve">Digital forms &amp; consent slips</t>
  </si>
  <si>
    <t xml:space="preserve">Trip permissions and policy sign-offs with parent e-signature</t>
  </si>
  <si>
    <t xml:space="preserve">Tier 3 – Differentiators</t>
  </si>
  <si>
    <t xml:space="preserve">Sign-in with Google Workspace / Microsoft 365 + online-class links</t>
  </si>
  <si>
    <t xml:space="preserve">Integrations</t>
  </si>
  <si>
    <t xml:space="preserve">SSO; links to Google Classroom, Teams, Zoom</t>
  </si>
  <si>
    <t xml:space="preserve">Accounting exports</t>
  </si>
  <si>
    <t xml:space="preserve">Finance</t>
  </si>
  <si>
    <t xml:space="preserve">QuickBooks and Xero export</t>
  </si>
  <si>
    <t xml:space="preserve">Visitor management &amp; authorised pickup</t>
  </si>
  <si>
    <t xml:space="preserve">Safety</t>
  </si>
  <si>
    <t xml:space="preserve">Visitor log, authorised pickup persons with photo</t>
  </si>
  <si>
    <t xml:space="preserve">Health room</t>
  </si>
  <si>
    <t xml:space="preserve">Clinic visits, medicines given, vaccination records</t>
  </si>
  <si>
    <t xml:space="preserve">Inventory &amp; assets</t>
  </si>
  <si>
    <t xml:space="preserve">Operations</t>
  </si>
  <si>
    <t xml:space="preserve">Library stock only</t>
  </si>
  <si>
    <t xml:space="preserve">Furniture, IT equipment, uniforms and books for sale</t>
  </si>
  <si>
    <t xml:space="preserve">Canteen wallet &amp; pocket money</t>
  </si>
  <si>
    <t xml:space="preserve">Student wallet for canteen / pocket money</t>
  </si>
  <si>
    <t xml:space="preserve">Alumni</t>
  </si>
  <si>
    <t xml:space="preserve">Community</t>
  </si>
  <si>
    <t xml:space="preserve">Graduates list, events, donations (donation module key exists)</t>
  </si>
  <si>
    <t xml:space="preserve">iPhone app &amp; web portal for parents</t>
  </si>
  <si>
    <t xml:space="preserve">Android app only</t>
  </si>
  <si>
    <t xml:space="preserve">iOS app; browser-based parent portal</t>
  </si>
  <si>
    <t xml:space="preserve">AI helpers</t>
  </si>
  <si>
    <t xml:space="preserve">Draft report-card comments, generate questions, translate notices</t>
  </si>
  <si>
    <t xml:space="preserve">Progress by tier</t>
  </si>
  <si>
    <t xml:space="preserve">Features</t>
  </si>
  <si>
    <t xml:space="preserve">Done</t>
  </si>
  <si>
    <t xml:space="preserve">In progress</t>
  </si>
  <si>
    <t xml:space="preserve">Not started / planned</t>
  </si>
  <si>
    <t xml:space="preserve">% done</t>
  </si>
  <si>
    <t xml:space="preserve">Total</t>
  </si>
  <si>
    <t xml:space="preserve">Suggested order: First = #1, #3, #2 · Second = #6, #7 · Third = #4, #5, #9, #10, #12</t>
  </si>
  <si>
    <t xml:space="preserve">Features already in the app / website</t>
  </si>
  <si>
    <t xml:space="preserve">What exists</t>
  </si>
  <si>
    <t xml:space="preserve">Where</t>
  </si>
  <si>
    <t xml:space="preserve">Registration, enrollment, promotion, roll numbers, profiles, ID cards, certificates, portal accounts</t>
  </si>
  <si>
    <t xml:space="preserve">App</t>
  </si>
  <si>
    <t xml:space="preserve">Daily attendance, attendance reports, student 'My attendance'</t>
  </si>
  <si>
    <t xml:space="preserve">Setup &amp; timetable</t>
  </si>
  <si>
    <t xml:space="preserve">Branches, sessions, classes, sections, subjects, periods, class/teacher/master timetable</t>
  </si>
  <si>
    <t xml:space="preserve">Exams, date sheets, marks entry, marksheets, rankings, subject marks</t>
  </si>
  <si>
    <t xml:space="preserve">Assessments</t>
  </si>
  <si>
    <t xml:space="preserve">Question bank, chapters, paper builder/preview, online test series, leaderboards, analysis</t>
  </si>
  <si>
    <t xml:space="preserve">Homework</t>
  </si>
  <si>
    <t xml:space="preserve">Create homework, mark completion, student view</t>
  </si>
  <si>
    <t xml:space="preserve">Fee items, class fee structure, discounts, demand slips, collection, approvals, receipts, hostel &amp; transport fees</t>
  </si>
  <si>
    <t xml:space="preserve">Hostel</t>
  </si>
  <si>
    <t xml:space="preserve">Buildings, rooms, seats, registration, enrollment</t>
  </si>
  <si>
    <t xml:space="preserve">Routes, stops (with map location), vehicles, drivers, enrollment</t>
  </si>
  <si>
    <t xml:space="preserve">App + website</t>
  </si>
  <si>
    <t xml:space="preserve">Staff</t>
  </si>
  <si>
    <t xml:space="preserve">Hiring, staff list, categories, subject teachers, leave types, leave apply/approve</t>
  </si>
  <si>
    <t xml:space="preserve">Notices, events, gallery, chat with push notifications</t>
  </si>
  <si>
    <t xml:space="preserve">Billing</t>
  </si>
  <si>
    <t xml:space="preserve">Plans (Basic/Pro yearly), free trial (configurable), Google Play subscriptions, lock icons</t>
  </si>
  <si>
    <t xml:space="preserve">Finance &amp; accounts</t>
  </si>
  <si>
    <t xml:space="preserve">Payroll, budgets, vendors, expenses, income, purchase orders, reports</t>
  </si>
  <si>
    <t xml:space="preserve">Website only</t>
  </si>
  <si>
    <t xml:space="preserve">Library</t>
  </si>
  <si>
    <t xml:space="preserve">Catalogue, members, circulation, fines, acquisitions, serials, programs</t>
  </si>
  <si>
    <t xml:space="preserve">Enquiries</t>
  </si>
  <si>
    <t xml:space="preserve">Admission enquiries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</si>
</sst>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 mmm\ yyyy"/>
    <numFmt numFmtId="166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64748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E40AF"/>
        <bgColor rgb="FF003366"/>
      </patternFill>
    </fill>
    <fill>
      <patternFill patternType="solid">
        <fgColor rgb="FFFEE2E2"/>
        <bgColor rgb="FFFEF3C7"/>
      </patternFill>
    </fill>
    <fill>
      <patternFill patternType="solid">
        <fgColor rgb="FFFFF9C4"/>
        <bgColor rgb="FFFEF3C7"/>
      </patternFill>
    </fill>
    <fill>
      <patternFill patternType="solid">
        <fgColor rgb="FFFEF3C7"/>
        <bgColor rgb="FFFFF9C4"/>
      </patternFill>
    </fill>
    <fill>
      <patternFill patternType="solid">
        <fgColor rgb="FFE0E7FF"/>
        <bgColor rgb="FFDBEA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E40A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0E7FF"/>
          <bgColor rgb="FF000000"/>
        </patternFill>
      </fill>
    </dxf>
    <dxf>
      <fill>
        <patternFill patternType="solid">
          <fgColor rgb="FFFEE2E2"/>
          <bgColor rgb="FF000000"/>
        </patternFill>
      </fill>
    </dxf>
    <dxf>
      <fill>
        <patternFill patternType="solid">
          <fgColor rgb="FFFEF3C7"/>
          <bgColor rgb="FF000000"/>
        </patternFill>
      </fill>
    </dxf>
    <dxf>
      <fill>
        <patternFill patternType="solid">
          <fgColor rgb="FFFFF9C4"/>
          <bgColor rgb="FF000000"/>
        </patternFill>
      </fill>
    </dxf>
    <dxf>
      <fill>
        <patternFill>
          <bgColor rgb="FFDCFCE7"/>
        </patternFill>
      </fill>
    </dxf>
    <dxf>
      <fill>
        <patternFill>
          <bgColor rgb="FFDBEAF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C4"/>
      <rgbColor rgb="FFDCFCE7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E0E7FF"/>
      <rgbColor rgb="FFFEF3C7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003366"/>
      <rgbColor rgb="FF339966"/>
      <rgbColor rgb="FF003300"/>
      <rgbColor rgb="FF333300"/>
      <rgbColor rgb="FF993300"/>
      <rgbColor rgb="FF993366"/>
      <rgbColor rgb="FF1E40A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40"/>
    <col collapsed="false" customWidth="true" hidden="false" outlineLevel="0" max="4" min="4" style="0" width="16"/>
    <col collapsed="false" customWidth="true" hidden="false" outlineLevel="0" max="5" min="5" style="0" width="34"/>
    <col collapsed="false" customWidth="true" hidden="false" outlineLevel="0" max="6" min="6" style="0" width="60"/>
    <col collapsed="false" customWidth="true" hidden="false" outlineLevel="0" max="7" min="7" style="0" width="12"/>
    <col collapsed="false" customWidth="true" hidden="false" outlineLevel="0" max="9" min="8" style="0" width="14"/>
    <col collapsed="false" customWidth="true" hidden="false" outlineLevel="0" max="10" min="10" style="0" width="13"/>
    <col collapsed="false" customWidth="true" hidden="false" outlineLevel="0" max="11" min="11" style="0" width="3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35.05" hidden="false" customHeight="false" outlineLevel="0" collapsed="false">
      <c r="A5" s="4" t="n">
        <v>1</v>
      </c>
      <c r="B5" s="5" t="s">
        <v>13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18</v>
      </c>
      <c r="H5" s="6" t="s">
        <v>19</v>
      </c>
      <c r="I5" s="6"/>
      <c r="J5" s="7"/>
      <c r="K5" s="6"/>
    </row>
    <row r="6" customFormat="false" ht="35.05" hidden="false" customHeight="false" outlineLevel="0" collapsed="false">
      <c r="A6" s="4" t="n">
        <v>2</v>
      </c>
      <c r="B6" s="5" t="s">
        <v>13</v>
      </c>
      <c r="C6" s="4" t="s">
        <v>20</v>
      </c>
      <c r="D6" s="4" t="s">
        <v>21</v>
      </c>
      <c r="E6" s="4" t="s">
        <v>22</v>
      </c>
      <c r="F6" s="4" t="s">
        <v>23</v>
      </c>
      <c r="G6" s="4" t="s">
        <v>18</v>
      </c>
      <c r="H6" s="6" t="s">
        <v>19</v>
      </c>
      <c r="I6" s="6"/>
      <c r="J6" s="7"/>
      <c r="K6" s="6"/>
    </row>
    <row r="7" customFormat="false" ht="23.85" hidden="false" customHeight="false" outlineLevel="0" collapsed="false">
      <c r="A7" s="4" t="n">
        <v>3</v>
      </c>
      <c r="B7" s="5" t="s">
        <v>13</v>
      </c>
      <c r="C7" s="4" t="s">
        <v>24</v>
      </c>
      <c r="D7" s="4" t="s">
        <v>25</v>
      </c>
      <c r="E7" s="4" t="s">
        <v>26</v>
      </c>
      <c r="F7" s="4" t="s">
        <v>27</v>
      </c>
      <c r="G7" s="4" t="s">
        <v>18</v>
      </c>
      <c r="H7" s="6" t="s">
        <v>19</v>
      </c>
      <c r="I7" s="6"/>
      <c r="J7" s="7"/>
      <c r="K7" s="6"/>
    </row>
    <row r="8" customFormat="false" ht="23.85" hidden="false" customHeight="false" outlineLevel="0" collapsed="false">
      <c r="A8" s="4" t="n">
        <v>4</v>
      </c>
      <c r="B8" s="5" t="s">
        <v>13</v>
      </c>
      <c r="C8" s="4" t="s">
        <v>28</v>
      </c>
      <c r="D8" s="4" t="s">
        <v>29</v>
      </c>
      <c r="E8" s="4" t="s">
        <v>30</v>
      </c>
      <c r="F8" s="4" t="s">
        <v>31</v>
      </c>
      <c r="G8" s="4" t="s">
        <v>32</v>
      </c>
      <c r="H8" s="6" t="s">
        <v>19</v>
      </c>
      <c r="I8" s="6"/>
      <c r="J8" s="7"/>
      <c r="K8" s="6"/>
    </row>
    <row r="9" customFormat="false" ht="23.85" hidden="false" customHeight="false" outlineLevel="0" collapsed="false">
      <c r="A9" s="4" t="n">
        <v>5</v>
      </c>
      <c r="B9" s="5" t="s">
        <v>13</v>
      </c>
      <c r="C9" s="4" t="s">
        <v>33</v>
      </c>
      <c r="D9" s="4" t="s">
        <v>34</v>
      </c>
      <c r="E9" s="4" t="s">
        <v>35</v>
      </c>
      <c r="F9" s="4" t="s">
        <v>36</v>
      </c>
      <c r="G9" s="4" t="s">
        <v>32</v>
      </c>
      <c r="H9" s="6" t="s">
        <v>19</v>
      </c>
      <c r="I9" s="6"/>
      <c r="J9" s="7"/>
      <c r="K9" s="6"/>
    </row>
    <row r="10" customFormat="false" ht="35.05" hidden="false" customHeight="false" outlineLevel="0" collapsed="false">
      <c r="A10" s="4" t="n">
        <v>6</v>
      </c>
      <c r="B10" s="5" t="s">
        <v>13</v>
      </c>
      <c r="C10" s="4" t="s">
        <v>37</v>
      </c>
      <c r="D10" s="4" t="s">
        <v>38</v>
      </c>
      <c r="E10" s="4" t="s">
        <v>39</v>
      </c>
      <c r="F10" s="4" t="s">
        <v>40</v>
      </c>
      <c r="G10" s="4" t="s">
        <v>41</v>
      </c>
      <c r="H10" s="6" t="s">
        <v>19</v>
      </c>
      <c r="I10" s="6"/>
      <c r="J10" s="7"/>
      <c r="K10" s="6"/>
    </row>
    <row r="11" customFormat="false" ht="23.85" hidden="false" customHeight="false" outlineLevel="0" collapsed="false">
      <c r="A11" s="4" t="n">
        <v>7</v>
      </c>
      <c r="B11" s="5" t="s">
        <v>13</v>
      </c>
      <c r="C11" s="4" t="s">
        <v>42</v>
      </c>
      <c r="D11" s="4" t="s">
        <v>38</v>
      </c>
      <c r="E11" s="4" t="s">
        <v>43</v>
      </c>
      <c r="F11" s="4" t="s">
        <v>44</v>
      </c>
      <c r="G11" s="4" t="s">
        <v>41</v>
      </c>
      <c r="H11" s="6" t="s">
        <v>19</v>
      </c>
      <c r="I11" s="6"/>
      <c r="J11" s="7"/>
      <c r="K11" s="6"/>
    </row>
    <row r="12" customFormat="false" ht="23.85" hidden="false" customHeight="false" outlineLevel="0" collapsed="false">
      <c r="A12" s="4" t="n">
        <v>8</v>
      </c>
      <c r="B12" s="5" t="s">
        <v>13</v>
      </c>
      <c r="C12" s="4" t="s">
        <v>45</v>
      </c>
      <c r="D12" s="4" t="s">
        <v>46</v>
      </c>
      <c r="E12" s="4" t="s">
        <v>47</v>
      </c>
      <c r="F12" s="4" t="s">
        <v>48</v>
      </c>
      <c r="G12" s="4" t="s">
        <v>49</v>
      </c>
      <c r="H12" s="6" t="s">
        <v>19</v>
      </c>
      <c r="I12" s="6"/>
      <c r="J12" s="7"/>
      <c r="K12" s="6"/>
    </row>
    <row r="13" customFormat="false" ht="15" hidden="false" customHeight="false" outlineLevel="0" collapsed="false">
      <c r="A13" s="4" t="n">
        <v>9</v>
      </c>
      <c r="B13" s="8" t="s">
        <v>50</v>
      </c>
      <c r="C13" s="4" t="s">
        <v>51</v>
      </c>
      <c r="D13" s="4" t="s">
        <v>52</v>
      </c>
      <c r="E13" s="4" t="s">
        <v>53</v>
      </c>
      <c r="F13" s="4" t="s">
        <v>54</v>
      </c>
      <c r="G13" s="4" t="s">
        <v>32</v>
      </c>
      <c r="H13" s="6" t="s">
        <v>19</v>
      </c>
      <c r="I13" s="6"/>
      <c r="J13" s="7"/>
      <c r="K13" s="6"/>
    </row>
    <row r="14" customFormat="false" ht="23.85" hidden="false" customHeight="false" outlineLevel="0" collapsed="false">
      <c r="A14" s="4" t="n">
        <v>10</v>
      </c>
      <c r="B14" s="8" t="s">
        <v>50</v>
      </c>
      <c r="C14" s="4" t="s">
        <v>55</v>
      </c>
      <c r="D14" s="4" t="s">
        <v>56</v>
      </c>
      <c r="E14" s="4" t="s">
        <v>57</v>
      </c>
      <c r="F14" s="4" t="s">
        <v>58</v>
      </c>
      <c r="G14" s="4" t="s">
        <v>32</v>
      </c>
      <c r="H14" s="6" t="s">
        <v>19</v>
      </c>
      <c r="I14" s="6"/>
      <c r="J14" s="7"/>
      <c r="K14" s="6"/>
    </row>
    <row r="15" customFormat="false" ht="15" hidden="false" customHeight="false" outlineLevel="0" collapsed="false">
      <c r="A15" s="4" t="n">
        <v>11</v>
      </c>
      <c r="B15" s="8" t="s">
        <v>50</v>
      </c>
      <c r="C15" s="4" t="s">
        <v>59</v>
      </c>
      <c r="D15" s="4" t="s">
        <v>25</v>
      </c>
      <c r="E15" s="4" t="s">
        <v>35</v>
      </c>
      <c r="F15" s="4" t="s">
        <v>60</v>
      </c>
      <c r="G15" s="4" t="s">
        <v>49</v>
      </c>
      <c r="H15" s="6" t="s">
        <v>19</v>
      </c>
      <c r="I15" s="6"/>
      <c r="J15" s="7"/>
      <c r="K15" s="6"/>
    </row>
    <row r="16" customFormat="false" ht="23.85" hidden="false" customHeight="false" outlineLevel="0" collapsed="false">
      <c r="A16" s="4" t="n">
        <v>12</v>
      </c>
      <c r="B16" s="8" t="s">
        <v>50</v>
      </c>
      <c r="C16" s="4" t="s">
        <v>61</v>
      </c>
      <c r="D16" s="4" t="s">
        <v>38</v>
      </c>
      <c r="E16" s="4" t="s">
        <v>62</v>
      </c>
      <c r="F16" s="4" t="s">
        <v>63</v>
      </c>
      <c r="G16" s="4" t="s">
        <v>32</v>
      </c>
      <c r="H16" s="6" t="s">
        <v>19</v>
      </c>
      <c r="I16" s="6"/>
      <c r="J16" s="7"/>
      <c r="K16" s="6"/>
    </row>
    <row r="17" customFormat="false" ht="23.85" hidden="false" customHeight="false" outlineLevel="0" collapsed="false">
      <c r="A17" s="4" t="n">
        <v>13</v>
      </c>
      <c r="B17" s="8" t="s">
        <v>50</v>
      </c>
      <c r="C17" s="4" t="s">
        <v>64</v>
      </c>
      <c r="D17" s="4" t="s">
        <v>65</v>
      </c>
      <c r="E17" s="4" t="s">
        <v>66</v>
      </c>
      <c r="F17" s="4" t="s">
        <v>67</v>
      </c>
      <c r="G17" s="4" t="s">
        <v>49</v>
      </c>
      <c r="H17" s="6" t="s">
        <v>19</v>
      </c>
      <c r="I17" s="6"/>
      <c r="J17" s="7"/>
      <c r="K17" s="6"/>
    </row>
    <row r="18" customFormat="false" ht="23.85" hidden="false" customHeight="false" outlineLevel="0" collapsed="false">
      <c r="A18" s="4" t="n">
        <v>14</v>
      </c>
      <c r="B18" s="8" t="s">
        <v>50</v>
      </c>
      <c r="C18" s="4" t="s">
        <v>68</v>
      </c>
      <c r="D18" s="4" t="s">
        <v>69</v>
      </c>
      <c r="E18" s="4" t="s">
        <v>70</v>
      </c>
      <c r="F18" s="4" t="s">
        <v>71</v>
      </c>
      <c r="G18" s="4" t="s">
        <v>49</v>
      </c>
      <c r="H18" s="6" t="s">
        <v>19</v>
      </c>
      <c r="I18" s="6"/>
      <c r="J18" s="7"/>
      <c r="K18" s="6"/>
    </row>
    <row r="19" customFormat="false" ht="15" hidden="false" customHeight="false" outlineLevel="0" collapsed="false">
      <c r="A19" s="4" t="n">
        <v>15</v>
      </c>
      <c r="B19" s="8" t="s">
        <v>50</v>
      </c>
      <c r="C19" s="4" t="s">
        <v>72</v>
      </c>
      <c r="D19" s="4" t="s">
        <v>73</v>
      </c>
      <c r="E19" s="4" t="s">
        <v>35</v>
      </c>
      <c r="F19" s="4" t="s">
        <v>74</v>
      </c>
      <c r="G19" s="4" t="s">
        <v>49</v>
      </c>
      <c r="H19" s="6" t="s">
        <v>19</v>
      </c>
      <c r="I19" s="6"/>
      <c r="J19" s="7"/>
      <c r="K19" s="6"/>
    </row>
    <row r="20" customFormat="false" ht="15" hidden="false" customHeight="false" outlineLevel="0" collapsed="false">
      <c r="A20" s="4" t="n">
        <v>16</v>
      </c>
      <c r="B20" s="8" t="s">
        <v>50</v>
      </c>
      <c r="C20" s="4" t="s">
        <v>75</v>
      </c>
      <c r="D20" s="4" t="s">
        <v>21</v>
      </c>
      <c r="E20" s="4" t="s">
        <v>76</v>
      </c>
      <c r="F20" s="4" t="s">
        <v>77</v>
      </c>
      <c r="G20" s="4" t="s">
        <v>49</v>
      </c>
      <c r="H20" s="6" t="s">
        <v>19</v>
      </c>
      <c r="I20" s="6"/>
      <c r="J20" s="7"/>
      <c r="K20" s="6"/>
    </row>
    <row r="21" customFormat="false" ht="23.85" hidden="false" customHeight="false" outlineLevel="0" collapsed="false">
      <c r="A21" s="4" t="n">
        <v>17</v>
      </c>
      <c r="B21" s="8" t="s">
        <v>50</v>
      </c>
      <c r="C21" s="4" t="s">
        <v>78</v>
      </c>
      <c r="D21" s="4" t="s">
        <v>38</v>
      </c>
      <c r="E21" s="4" t="s">
        <v>79</v>
      </c>
      <c r="F21" s="4" t="s">
        <v>80</v>
      </c>
      <c r="G21" s="4" t="s">
        <v>49</v>
      </c>
      <c r="H21" s="6" t="s">
        <v>19</v>
      </c>
      <c r="I21" s="6"/>
      <c r="J21" s="7"/>
      <c r="K21" s="6"/>
    </row>
    <row r="22" customFormat="false" ht="15" hidden="false" customHeight="false" outlineLevel="0" collapsed="false">
      <c r="A22" s="4" t="n">
        <v>18</v>
      </c>
      <c r="B22" s="8" t="s">
        <v>50</v>
      </c>
      <c r="C22" s="4" t="s">
        <v>81</v>
      </c>
      <c r="D22" s="4" t="s">
        <v>25</v>
      </c>
      <c r="E22" s="4" t="s">
        <v>82</v>
      </c>
      <c r="F22" s="4" t="s">
        <v>83</v>
      </c>
      <c r="G22" s="4" t="s">
        <v>49</v>
      </c>
      <c r="H22" s="6" t="s">
        <v>19</v>
      </c>
      <c r="I22" s="6"/>
      <c r="J22" s="7"/>
      <c r="K22" s="6"/>
    </row>
    <row r="23" customFormat="false" ht="15" hidden="false" customHeight="false" outlineLevel="0" collapsed="false">
      <c r="A23" s="4" t="n">
        <v>19</v>
      </c>
      <c r="B23" s="8" t="s">
        <v>50</v>
      </c>
      <c r="C23" s="4" t="s">
        <v>84</v>
      </c>
      <c r="D23" s="4" t="s">
        <v>56</v>
      </c>
      <c r="E23" s="4" t="s">
        <v>35</v>
      </c>
      <c r="F23" s="4" t="s">
        <v>85</v>
      </c>
      <c r="G23" s="4" t="s">
        <v>49</v>
      </c>
      <c r="H23" s="6" t="s">
        <v>19</v>
      </c>
      <c r="I23" s="6"/>
      <c r="J23" s="7"/>
      <c r="K23" s="6"/>
    </row>
    <row r="24" customFormat="false" ht="15" hidden="false" customHeight="false" outlineLevel="0" collapsed="false">
      <c r="A24" s="4" t="n">
        <v>20</v>
      </c>
      <c r="B24" s="8" t="s">
        <v>50</v>
      </c>
      <c r="C24" s="4" t="s">
        <v>86</v>
      </c>
      <c r="D24" s="4" t="s">
        <v>25</v>
      </c>
      <c r="E24" s="4" t="s">
        <v>35</v>
      </c>
      <c r="F24" s="4" t="s">
        <v>87</v>
      </c>
      <c r="G24" s="4" t="s">
        <v>49</v>
      </c>
      <c r="H24" s="6" t="s">
        <v>19</v>
      </c>
      <c r="I24" s="6"/>
      <c r="J24" s="7"/>
      <c r="K24" s="6"/>
    </row>
    <row r="25" customFormat="false" ht="23.85" hidden="false" customHeight="false" outlineLevel="0" collapsed="false">
      <c r="A25" s="4" t="n">
        <v>21</v>
      </c>
      <c r="B25" s="9" t="s">
        <v>88</v>
      </c>
      <c r="C25" s="4" t="s">
        <v>89</v>
      </c>
      <c r="D25" s="4" t="s">
        <v>90</v>
      </c>
      <c r="E25" s="4" t="s">
        <v>35</v>
      </c>
      <c r="F25" s="4" t="s">
        <v>91</v>
      </c>
      <c r="G25" s="4" t="s">
        <v>49</v>
      </c>
      <c r="H25" s="6" t="s">
        <v>19</v>
      </c>
      <c r="I25" s="6"/>
      <c r="J25" s="7"/>
      <c r="K25" s="6"/>
    </row>
    <row r="26" customFormat="false" ht="15" hidden="false" customHeight="false" outlineLevel="0" collapsed="false">
      <c r="A26" s="4" t="n">
        <v>22</v>
      </c>
      <c r="B26" s="9" t="s">
        <v>88</v>
      </c>
      <c r="C26" s="4" t="s">
        <v>92</v>
      </c>
      <c r="D26" s="4" t="s">
        <v>93</v>
      </c>
      <c r="E26" s="4" t="s">
        <v>35</v>
      </c>
      <c r="F26" s="4" t="s">
        <v>94</v>
      </c>
      <c r="G26" s="4" t="s">
        <v>49</v>
      </c>
      <c r="H26" s="6" t="s">
        <v>19</v>
      </c>
      <c r="I26" s="6"/>
      <c r="J26" s="7"/>
      <c r="K26" s="6"/>
    </row>
    <row r="27" customFormat="false" ht="15" hidden="false" customHeight="false" outlineLevel="0" collapsed="false">
      <c r="A27" s="4" t="n">
        <v>23</v>
      </c>
      <c r="B27" s="9" t="s">
        <v>88</v>
      </c>
      <c r="C27" s="4" t="s">
        <v>95</v>
      </c>
      <c r="D27" s="4" t="s">
        <v>96</v>
      </c>
      <c r="E27" s="4" t="s">
        <v>35</v>
      </c>
      <c r="F27" s="4" t="s">
        <v>97</v>
      </c>
      <c r="G27" s="4" t="s">
        <v>49</v>
      </c>
      <c r="H27" s="6" t="s">
        <v>19</v>
      </c>
      <c r="I27" s="6"/>
      <c r="J27" s="7"/>
      <c r="K27" s="6"/>
    </row>
    <row r="28" customFormat="false" ht="15" hidden="false" customHeight="false" outlineLevel="0" collapsed="false">
      <c r="A28" s="4" t="n">
        <v>24</v>
      </c>
      <c r="B28" s="9" t="s">
        <v>88</v>
      </c>
      <c r="C28" s="4" t="s">
        <v>98</v>
      </c>
      <c r="D28" s="4" t="s">
        <v>56</v>
      </c>
      <c r="E28" s="4" t="s">
        <v>35</v>
      </c>
      <c r="F28" s="4" t="s">
        <v>99</v>
      </c>
      <c r="G28" s="4" t="s">
        <v>49</v>
      </c>
      <c r="H28" s="6" t="s">
        <v>19</v>
      </c>
      <c r="I28" s="6"/>
      <c r="J28" s="7"/>
      <c r="K28" s="6"/>
    </row>
    <row r="29" customFormat="false" ht="15" hidden="false" customHeight="false" outlineLevel="0" collapsed="false">
      <c r="A29" s="4" t="n">
        <v>25</v>
      </c>
      <c r="B29" s="9" t="s">
        <v>88</v>
      </c>
      <c r="C29" s="4" t="s">
        <v>100</v>
      </c>
      <c r="D29" s="4" t="s">
        <v>101</v>
      </c>
      <c r="E29" s="4" t="s">
        <v>102</v>
      </c>
      <c r="F29" s="4" t="s">
        <v>103</v>
      </c>
      <c r="G29" s="4" t="s">
        <v>49</v>
      </c>
      <c r="H29" s="6" t="s">
        <v>19</v>
      </c>
      <c r="I29" s="6"/>
      <c r="J29" s="7"/>
      <c r="K29" s="6"/>
    </row>
    <row r="30" customFormat="false" ht="15" hidden="false" customHeight="false" outlineLevel="0" collapsed="false">
      <c r="A30" s="4" t="n">
        <v>26</v>
      </c>
      <c r="B30" s="9" t="s">
        <v>88</v>
      </c>
      <c r="C30" s="4" t="s">
        <v>104</v>
      </c>
      <c r="D30" s="4" t="s">
        <v>101</v>
      </c>
      <c r="E30" s="4" t="s">
        <v>35</v>
      </c>
      <c r="F30" s="4" t="s">
        <v>105</v>
      </c>
      <c r="G30" s="4" t="s">
        <v>49</v>
      </c>
      <c r="H30" s="6" t="s">
        <v>19</v>
      </c>
      <c r="I30" s="6"/>
      <c r="J30" s="7"/>
      <c r="K30" s="6"/>
    </row>
    <row r="31" customFormat="false" ht="15" hidden="false" customHeight="false" outlineLevel="0" collapsed="false">
      <c r="A31" s="4" t="n">
        <v>27</v>
      </c>
      <c r="B31" s="9" t="s">
        <v>88</v>
      </c>
      <c r="C31" s="4" t="s">
        <v>106</v>
      </c>
      <c r="D31" s="4" t="s">
        <v>107</v>
      </c>
      <c r="E31" s="4" t="s">
        <v>35</v>
      </c>
      <c r="F31" s="4" t="s">
        <v>108</v>
      </c>
      <c r="G31" s="4" t="s">
        <v>49</v>
      </c>
      <c r="H31" s="6" t="s">
        <v>19</v>
      </c>
      <c r="I31" s="6"/>
      <c r="J31" s="7"/>
      <c r="K31" s="6"/>
    </row>
    <row r="32" customFormat="false" ht="15" hidden="false" customHeight="false" outlineLevel="0" collapsed="false">
      <c r="A32" s="4" t="n">
        <v>28</v>
      </c>
      <c r="B32" s="9" t="s">
        <v>88</v>
      </c>
      <c r="C32" s="4" t="s">
        <v>109</v>
      </c>
      <c r="D32" s="4" t="s">
        <v>38</v>
      </c>
      <c r="E32" s="4" t="s">
        <v>110</v>
      </c>
      <c r="F32" s="4" t="s">
        <v>111</v>
      </c>
      <c r="G32" s="4" t="s">
        <v>49</v>
      </c>
      <c r="H32" s="6" t="s">
        <v>19</v>
      </c>
      <c r="I32" s="6"/>
      <c r="J32" s="7"/>
      <c r="K32" s="6"/>
    </row>
    <row r="33" customFormat="false" ht="15" hidden="false" customHeight="false" outlineLevel="0" collapsed="false">
      <c r="A33" s="4" t="n">
        <v>29</v>
      </c>
      <c r="B33" s="9" t="s">
        <v>88</v>
      </c>
      <c r="C33" s="4" t="s">
        <v>112</v>
      </c>
      <c r="D33" s="4" t="s">
        <v>38</v>
      </c>
      <c r="E33" s="4" t="s">
        <v>35</v>
      </c>
      <c r="F33" s="4" t="s">
        <v>113</v>
      </c>
      <c r="G33" s="4" t="s">
        <v>49</v>
      </c>
      <c r="H33" s="6" t="s">
        <v>19</v>
      </c>
      <c r="I33" s="6"/>
      <c r="J33" s="7"/>
      <c r="K33" s="6"/>
    </row>
  </sheetData>
  <autoFilter ref="A4:K33"/>
  <conditionalFormatting sqref="H5:H33">
    <cfRule type="cellIs" priority="2" operator="equal" aboveAverage="0" equalAverage="0" bottom="0" percent="0" rank="0" text="" dxfId="7">
      <formula>"Done"</formula>
    </cfRule>
    <cfRule type="cellIs" priority="3" operator="equal" aboveAverage="0" equalAverage="0" bottom="0" percent="0" rank="0" text="" dxfId="8">
      <formula>"In progress"</formula>
    </cfRule>
  </conditionalFormatting>
  <dataValidations count="1">
    <dataValidation allowBlank="true" errorStyle="stop" operator="between" showDropDown="false" showErrorMessage="false" showInputMessage="false" sqref="H5:H33" type="list">
      <formula1>"Not started,Planned,In progress,Done,On hold"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3"/>
    <col collapsed="false" customWidth="true" hidden="false" outlineLevel="0" max="5" min="5" style="0" width="22"/>
    <col collapsed="false" customWidth="true" hidden="false" outlineLevel="0" max="6" min="6" style="0" width="10"/>
  </cols>
  <sheetData>
    <row r="1" customFormat="false" ht="16.15" hidden="false" customHeight="false" outlineLevel="0" collapsed="false">
      <c r="A1" s="1" t="s">
        <v>114</v>
      </c>
    </row>
    <row r="3" customFormat="false" ht="15" hidden="false" customHeight="false" outlineLevel="0" collapsed="false">
      <c r="A3" s="3" t="s">
        <v>3</v>
      </c>
      <c r="B3" s="3" t="s">
        <v>115</v>
      </c>
      <c r="C3" s="3" t="s">
        <v>116</v>
      </c>
      <c r="D3" s="3" t="s">
        <v>117</v>
      </c>
      <c r="E3" s="3" t="s">
        <v>118</v>
      </c>
      <c r="F3" s="3" t="s">
        <v>119</v>
      </c>
    </row>
    <row r="4" customFormat="false" ht="15" hidden="false" customHeight="false" outlineLevel="0" collapsed="false">
      <c r="A4" s="10" t="s">
        <v>13</v>
      </c>
      <c r="B4" s="10" t="n">
        <f aca="false">COUNTIF('Missing Features'!$B$5:$B$33,A4)</f>
        <v>8</v>
      </c>
      <c r="C4" s="10" t="n">
        <f aca="false">COUNTIFS('Missing Features'!$B$5:$B$33,A4,'Missing Features'!$H$5:$H$33,"Done")</f>
        <v>0</v>
      </c>
      <c r="D4" s="10" t="n">
        <f aca="false">COUNTIFS('Missing Features'!$B$5:$B$33,A4,'Missing Features'!$H$5:$H$33,"In progress")</f>
        <v>0</v>
      </c>
      <c r="E4" s="10" t="n">
        <f aca="false">B4-C4-D4</f>
        <v>8</v>
      </c>
      <c r="F4" s="11" t="n">
        <f aca="false">IF(B4=0,0,C4/B4)</f>
        <v>0</v>
      </c>
    </row>
    <row r="5" customFormat="false" ht="15" hidden="false" customHeight="false" outlineLevel="0" collapsed="false">
      <c r="A5" s="10" t="s">
        <v>50</v>
      </c>
      <c r="B5" s="10" t="n">
        <f aca="false">COUNTIF('Missing Features'!$B$5:$B$33,A5)</f>
        <v>12</v>
      </c>
      <c r="C5" s="10" t="n">
        <f aca="false">COUNTIFS('Missing Features'!$B$5:$B$33,A5,'Missing Features'!$H$5:$H$33,"Done")</f>
        <v>0</v>
      </c>
      <c r="D5" s="10" t="n">
        <f aca="false">COUNTIFS('Missing Features'!$B$5:$B$33,A5,'Missing Features'!$H$5:$H$33,"In progress")</f>
        <v>0</v>
      </c>
      <c r="E5" s="10" t="n">
        <f aca="false">B5-C5-D5</f>
        <v>12</v>
      </c>
      <c r="F5" s="11" t="n">
        <f aca="false">IF(B5=0,0,C5/B5)</f>
        <v>0</v>
      </c>
    </row>
    <row r="6" customFormat="false" ht="15" hidden="false" customHeight="false" outlineLevel="0" collapsed="false">
      <c r="A6" s="10" t="s">
        <v>88</v>
      </c>
      <c r="B6" s="10" t="n">
        <f aca="false">COUNTIF('Missing Features'!$B$5:$B$33,A6)</f>
        <v>9</v>
      </c>
      <c r="C6" s="10" t="n">
        <f aca="false">COUNTIFS('Missing Features'!$B$5:$B$33,A6,'Missing Features'!$H$5:$H$33,"Done")</f>
        <v>0</v>
      </c>
      <c r="D6" s="10" t="n">
        <f aca="false">COUNTIFS('Missing Features'!$B$5:$B$33,A6,'Missing Features'!$H$5:$H$33,"In progress")</f>
        <v>0</v>
      </c>
      <c r="E6" s="10" t="n">
        <f aca="false">B6-C6-D6</f>
        <v>9</v>
      </c>
      <c r="F6" s="11" t="n">
        <f aca="false">IF(B6=0,0,C6/B6)</f>
        <v>0</v>
      </c>
    </row>
    <row r="7" customFormat="false" ht="15" hidden="false" customHeight="false" outlineLevel="0" collapsed="false">
      <c r="A7" s="12" t="s">
        <v>120</v>
      </c>
      <c r="B7" s="12" t="n">
        <f aca="false">SUM(B4:B6)</f>
        <v>29</v>
      </c>
      <c r="C7" s="12" t="n">
        <f aca="false">SUM(C4:C6)</f>
        <v>0</v>
      </c>
      <c r="D7" s="12" t="n">
        <f aca="false">SUM(D4:D6)</f>
        <v>0</v>
      </c>
      <c r="E7" s="12" t="n">
        <f aca="false">SUM(E4:E6)</f>
        <v>29</v>
      </c>
      <c r="F7" s="13" t="n">
        <f aca="false">IF(B7=0,0,C7/B7)</f>
        <v>0</v>
      </c>
    </row>
    <row r="9" customFormat="false" ht="15" hidden="false" customHeight="false" outlineLevel="0" collapsed="false">
      <c r="A9" s="14" t="s">
        <v>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80"/>
    <col collapsed="false" customWidth="true" hidden="false" outlineLevel="0" max="3" min="3" style="0" width="16"/>
  </cols>
  <sheetData>
    <row r="1" customFormat="false" ht="16.15" hidden="false" customHeight="false" outlineLevel="0" collapsed="false">
      <c r="A1" s="1" t="s">
        <v>122</v>
      </c>
    </row>
    <row r="3" customFormat="false" ht="15" hidden="false" customHeight="false" outlineLevel="0" collapsed="false">
      <c r="A3" s="15" t="s">
        <v>5</v>
      </c>
      <c r="B3" s="15" t="s">
        <v>123</v>
      </c>
      <c r="C3" s="15" t="s">
        <v>124</v>
      </c>
    </row>
    <row r="4" customFormat="false" ht="15" hidden="false" customHeight="false" outlineLevel="0" collapsed="false">
      <c r="A4" s="4" t="s">
        <v>56</v>
      </c>
      <c r="B4" s="4" t="s">
        <v>125</v>
      </c>
      <c r="C4" s="4" t="s">
        <v>126</v>
      </c>
    </row>
    <row r="5" customFormat="false" ht="15" hidden="false" customHeight="false" outlineLevel="0" collapsed="false">
      <c r="A5" s="4" t="s">
        <v>29</v>
      </c>
      <c r="B5" s="4" t="s">
        <v>127</v>
      </c>
      <c r="C5" s="4" t="s">
        <v>126</v>
      </c>
    </row>
    <row r="6" customFormat="false" ht="15" hidden="false" customHeight="false" outlineLevel="0" collapsed="false">
      <c r="A6" s="4" t="s">
        <v>128</v>
      </c>
      <c r="B6" s="4" t="s">
        <v>129</v>
      </c>
      <c r="C6" s="4" t="s">
        <v>126</v>
      </c>
    </row>
    <row r="7" customFormat="false" ht="15" hidden="false" customHeight="false" outlineLevel="0" collapsed="false">
      <c r="A7" s="4" t="s">
        <v>21</v>
      </c>
      <c r="B7" s="4" t="s">
        <v>130</v>
      </c>
      <c r="C7" s="4" t="s">
        <v>126</v>
      </c>
    </row>
    <row r="8" customFormat="false" ht="15" hidden="false" customHeight="false" outlineLevel="0" collapsed="false">
      <c r="A8" s="4" t="s">
        <v>131</v>
      </c>
      <c r="B8" s="4" t="s">
        <v>132</v>
      </c>
      <c r="C8" s="4" t="s">
        <v>126</v>
      </c>
    </row>
    <row r="9" customFormat="false" ht="15" hidden="false" customHeight="false" outlineLevel="0" collapsed="false">
      <c r="A9" s="4" t="s">
        <v>133</v>
      </c>
      <c r="B9" s="4" t="s">
        <v>134</v>
      </c>
      <c r="C9" s="4" t="s">
        <v>126</v>
      </c>
    </row>
    <row r="10" customFormat="false" ht="23.85" hidden="false" customHeight="false" outlineLevel="0" collapsed="false">
      <c r="A10" s="4" t="s">
        <v>15</v>
      </c>
      <c r="B10" s="4" t="s">
        <v>135</v>
      </c>
      <c r="C10" s="4" t="s">
        <v>126</v>
      </c>
    </row>
    <row r="11" customFormat="false" ht="15" hidden="false" customHeight="false" outlineLevel="0" collapsed="false">
      <c r="A11" s="4" t="s">
        <v>136</v>
      </c>
      <c r="B11" s="4" t="s">
        <v>137</v>
      </c>
      <c r="C11" s="4" t="s">
        <v>126</v>
      </c>
    </row>
    <row r="12" customFormat="false" ht="15" hidden="false" customHeight="false" outlineLevel="0" collapsed="false">
      <c r="A12" s="4" t="s">
        <v>69</v>
      </c>
      <c r="B12" s="4" t="s">
        <v>138</v>
      </c>
      <c r="C12" s="4" t="s">
        <v>139</v>
      </c>
    </row>
    <row r="13" customFormat="false" ht="15" hidden="false" customHeight="false" outlineLevel="0" collapsed="false">
      <c r="A13" s="4" t="s">
        <v>140</v>
      </c>
      <c r="B13" s="4" t="s">
        <v>141</v>
      </c>
      <c r="C13" s="4" t="s">
        <v>126</v>
      </c>
    </row>
    <row r="14" customFormat="false" ht="15" hidden="false" customHeight="false" outlineLevel="0" collapsed="false">
      <c r="A14" s="4" t="s">
        <v>25</v>
      </c>
      <c r="B14" s="4" t="s">
        <v>142</v>
      </c>
      <c r="C14" s="4" t="s">
        <v>126</v>
      </c>
    </row>
    <row r="15" customFormat="false" ht="15" hidden="false" customHeight="false" outlineLevel="0" collapsed="false">
      <c r="A15" s="4" t="s">
        <v>143</v>
      </c>
      <c r="B15" s="4" t="s">
        <v>144</v>
      </c>
      <c r="C15" s="4" t="s">
        <v>139</v>
      </c>
    </row>
    <row r="16" customFormat="false" ht="15" hidden="false" customHeight="false" outlineLevel="0" collapsed="false">
      <c r="A16" s="4" t="s">
        <v>145</v>
      </c>
      <c r="B16" s="4" t="s">
        <v>146</v>
      </c>
      <c r="C16" s="4" t="s">
        <v>147</v>
      </c>
    </row>
    <row r="17" customFormat="false" ht="15" hidden="false" customHeight="false" outlineLevel="0" collapsed="false">
      <c r="A17" s="4" t="s">
        <v>148</v>
      </c>
      <c r="B17" s="4" t="s">
        <v>149</v>
      </c>
      <c r="C17" s="4" t="s">
        <v>147</v>
      </c>
    </row>
    <row r="18" customFormat="false" ht="15" hidden="false" customHeight="false" outlineLevel="0" collapsed="false">
      <c r="A18" s="4" t="s">
        <v>150</v>
      </c>
      <c r="B18" s="4" t="s">
        <v>151</v>
      </c>
      <c r="C18" s="4" t="s">
        <v>147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2026-10-11T03:49:09Z</dcterms:created>
  <dc:creator>openpyxl</dc:creator>
  <dc:description/>
  <dc:language>en-US</dc:language>
  <cp:lastModifiedBy/>
  <dcterms:modified xsi:type="dcterms:W3CDTF">2026-10-11T03:49:09Z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